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redient x Drinks" sheetId="1" state="visible" r:id="rId3"/>
    <sheet name="Base Raw Ingredients" sheetId="2" state="visible" r:id="rId4"/>
    <sheet name="Base Recipes" sheetId="3" state="visible" r:id="rId5"/>
  </sheets>
  <definedNames>
    <definedName function="false" hidden="false" localSheetId="1" name="_xlnm.Print_Area" vbProcedure="false">'Base Raw Ingredients'!$A$1:$E$14</definedName>
    <definedName function="false" hidden="false" localSheetId="2" name="_xlnm.Print_Area" vbProcedure="false">'Base Recipes'!$A$1:$D$39</definedName>
    <definedName function="false" hidden="false" localSheetId="0" name="_xlnm.Print_Area" vbProcedure="false">'Ingredient x Drinks'!$A$1:$F$30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<sst xmlns="http://schemas.openxmlformats.org/spreadsheetml/2006/main" count="197" uniqueCount="139">
  <si>
    <t xml:space="preserve">COOKIE DOH BLEND — INGREDIENT PREP / PROCUREMENT LIST  (17 SKUs · 2 bases)</t>
  </si>
  <si>
    <t xml:space="preserve">Ingredient</t>
  </si>
  <si>
    <t xml:space="preserve">Category</t>
  </si>
  <si>
    <t xml:space="preserve"># Drinks</t>
  </si>
  <si>
    <t xml:space="preserve">Drinks that use it</t>
  </si>
  <si>
    <t xml:space="preserve">Par / Order Qty</t>
  </si>
  <si>
    <t xml:space="preserve">Notes</t>
  </si>
  <si>
    <t xml:space="preserve">FRUIT  (use frozen IQF for delivery consistency)</t>
  </si>
  <si>
    <t xml:space="preserve">Banana</t>
  </si>
  <si>
    <t xml:space="preserve">Fruit</t>
  </si>
  <si>
    <t xml:space="preserve">Berry Spell, Blue Moon, Strawberry Kiss, Sunbeam, Tropical Bliss, Monkey Business, Sweet Talker</t>
  </si>
  <si>
    <t xml:space="preserve">Highest-volume fruit on the menu</t>
  </si>
  <si>
    <t xml:space="preserve">Strawberry</t>
  </si>
  <si>
    <t xml:space="preserve">Berry Bloom, Berry Spell, Pink Stardust, Ruby Glow, Strawberry Kiss, Sweet Talker</t>
  </si>
  <si>
    <t xml:space="preserve">Raspberry</t>
  </si>
  <si>
    <t xml:space="preserve">Berry Bloom, Berry Spell, Midnight Berry, Pink Stardust, Dark Temptation</t>
  </si>
  <si>
    <t xml:space="preserve">Mango</t>
  </si>
  <si>
    <t xml:space="preserve">Dragon Dream, Golden Glow, Sunbeam, Tropical Bliss, Mango Tango</t>
  </si>
  <si>
    <t xml:space="preserve">Mango Tango specs Harum Manis (seasonal) — keep frozen mango as fallback</t>
  </si>
  <si>
    <t xml:space="preserve">Blueberry</t>
  </si>
  <si>
    <t xml:space="preserve">Berry Bloom, Blue Moon, Midnight Berry</t>
  </si>
  <si>
    <t xml:space="preserve">Blackberry</t>
  </si>
  <si>
    <t xml:space="preserve">Midnight Berry</t>
  </si>
  <si>
    <t xml:space="preserve">Cranberry</t>
  </si>
  <si>
    <t xml:space="preserve">Ruby Glow</t>
  </si>
  <si>
    <t xml:space="preserve">Frozen or unsweetened juice</t>
  </si>
  <si>
    <t xml:space="preserve">Dragon fruit</t>
  </si>
  <si>
    <t xml:space="preserve">Dragon Dream</t>
  </si>
  <si>
    <t xml:space="preserve">Red-flesh variety for colour</t>
  </si>
  <si>
    <t xml:space="preserve">Watermelon</t>
  </si>
  <si>
    <t xml:space="preserve">Island Daydream</t>
  </si>
  <si>
    <t xml:space="preserve">Fresh, deseeded</t>
  </si>
  <si>
    <t xml:space="preserve">Lychee</t>
  </si>
  <si>
    <t xml:space="preserve">Canned in syrup is standard</t>
  </si>
  <si>
    <t xml:space="preserve">LIQUIDS</t>
  </si>
  <si>
    <t xml:space="preserve">Apple juice</t>
  </si>
  <si>
    <t xml:space="preserve">Liquid</t>
  </si>
  <si>
    <t xml:space="preserve">Berry Bloom, Berry Spell, Blue Moon, Midnight Berry, Pink Stardust, Ruby Glow, Strawberry Kiss, Golden Glow, Sunbeam, Mango Tango</t>
  </si>
  <si>
    <t xml:space="preserve">Workhorse liquid base. Berry Spell uses a green-apple variant</t>
  </si>
  <si>
    <t xml:space="preserve">Fresh milk (dairy, service)</t>
  </si>
  <si>
    <t xml:space="preserve">Cookie Crush, Monkey Business, Sweet Talker, Dark Temptation</t>
  </si>
  <si>
    <t xml:space="preserve">Blending liquid for ALL cookie blends. SEPARATE from the milk used to make bases (Bases tab)</t>
  </si>
  <si>
    <t xml:space="preserve">Lemon</t>
  </si>
  <si>
    <t xml:space="preserve">Pink Stardust, Golden Glow, Sunbeam</t>
  </si>
  <si>
    <t xml:space="preserve">Fresh, for citrus lift</t>
  </si>
  <si>
    <t xml:space="preserve">Coconut milk</t>
  </si>
  <si>
    <t xml:space="preserve">Dark Temptation</t>
  </si>
  <si>
    <t xml:space="preserve">Added flavour ingredient in Dark Temptation, alongside its dairy milk</t>
  </si>
  <si>
    <t xml:space="preserve">CHOCOLATE &amp; COOKIE  (cookie-blend station)</t>
  </si>
  <si>
    <t xml:space="preserve">Baked cookie (crumb + chunk)</t>
  </si>
  <si>
    <t xml:space="preserve">Choc/Cookie</t>
  </si>
  <si>
    <t xml:space="preserve">Cookie Crush, Monkey Business</t>
  </si>
  <si>
    <t xml:space="preserve">Your own bake</t>
  </si>
  <si>
    <t xml:space="preserve">Milk chocolate</t>
  </si>
  <si>
    <t xml:space="preserve">Couverture or sauce</t>
  </si>
  <si>
    <t xml:space="preserve">Dark chocolate</t>
  </si>
  <si>
    <t xml:space="preserve">Couverture</t>
  </si>
  <si>
    <t xml:space="preserve">Cocoa powder</t>
  </si>
  <si>
    <t xml:space="preserve">Dutch-process</t>
  </si>
  <si>
    <t xml:space="preserve">Caramel sauce</t>
  </si>
  <si>
    <t xml:space="preserve">Cookie Crush, Sweet Talker</t>
  </si>
  <si>
    <t xml:space="preserve">Caramel swirl/drizzle. Note: ALL caramel-base drinks also get caramel flavour from the base itself</t>
  </si>
  <si>
    <t xml:space="preserve">Brown sugar (finishing)</t>
  </si>
  <si>
    <t xml:space="preserve">Cookie Crush</t>
  </si>
  <si>
    <t xml:space="preserve">Also a base raw material — see Bases tab</t>
  </si>
  <si>
    <t xml:space="preserve">Flaky sea salt (finishing)</t>
  </si>
  <si>
    <t xml:space="preserve">Garnish</t>
  </si>
  <si>
    <t xml:space="preserve">BASES  (2 only — raw materials on 'Base Raw Ingredients', formulas on 'Base Recipes')</t>
  </si>
  <si>
    <t xml:space="preserve">Plain Yoghurt base</t>
  </si>
  <si>
    <t xml:space="preserve">Base</t>
  </si>
  <si>
    <t xml:space="preserve">Berry Bloom, Berry Spell, Blue Moon, Midnight Berry, Ruby Glow, Strawberry Kiss, Dragon Dream, Golden Glow, Sunbeam, Pink Stardust, Island Daydream, Mango Tango, Tropical Bliss</t>
  </si>
  <si>
    <t xml:space="preserve">Now also covers the 4 former sorbet-line drinks. Build those juice-forward with a lighter yoghurt hand</t>
  </si>
  <si>
    <t xml:space="preserve">Brown Sugar Caramel Ice Cream base</t>
  </si>
  <si>
    <t xml:space="preserve">Cookie Crush, Dark Temptation, Monkey Business, Sweet Talker</t>
  </si>
  <si>
    <t xml:space="preserve">All cookie blends run off this</t>
  </si>
  <si>
    <t xml:space="preserve">RAW INGREDIENTS TO MAKE THE 2 BASES</t>
  </si>
  <si>
    <t xml:space="preserve">Raw Ingredient</t>
  </si>
  <si>
    <t xml:space="preserve">Used in Base(s)</t>
  </si>
  <si>
    <t xml:space="preserve">Role / Function</t>
  </si>
  <si>
    <t xml:space="preserve">Greek / full-fat yoghurt</t>
  </si>
  <si>
    <t xml:space="preserve">Yoghurt</t>
  </si>
  <si>
    <t xml:space="preserve">Body + tang</t>
  </si>
  <si>
    <t xml:space="preserve">Fold in cold, off-heat — never boil</t>
  </si>
  <si>
    <t xml:space="preserve">Whole milk</t>
  </si>
  <si>
    <t xml:space="preserve">Yoghurt, Caramel Ice Cream</t>
  </si>
  <si>
    <t xml:space="preserve">Liquid dairy / body</t>
  </si>
  <si>
    <t xml:space="preserve">Cream (35% fat)</t>
  </si>
  <si>
    <t xml:space="preserve">Caramel Ice Cream</t>
  </si>
  <si>
    <t xml:space="preserve">Richness / fat</t>
  </si>
  <si>
    <t xml:space="preserve">Skim milk powder (SMP)</t>
  </si>
  <si>
    <t xml:space="preserve">Milk solids — body, anti-ice</t>
  </si>
  <si>
    <t xml:space="preserve">Sucrose (white sugar)</t>
  </si>
  <si>
    <t xml:space="preserve">Sweetness + structure</t>
  </si>
  <si>
    <t xml:space="preserve">Dry-blend the gums into this first</t>
  </si>
  <si>
    <t xml:space="preserve">Dextrose</t>
  </si>
  <si>
    <t xml:space="preserve">Sweetness + freeze control</t>
  </si>
  <si>
    <t xml:space="preserve">Dark brown sugar</t>
  </si>
  <si>
    <t xml:space="preserve">Caramelised flavour + sweetness</t>
  </si>
  <si>
    <t xml:space="preserve">Caramelise dry, deglaze with warm cream</t>
  </si>
  <si>
    <t xml:space="preserve">Fine salt</t>
  </si>
  <si>
    <t xml:space="preserve">Flavour balance</t>
  </si>
  <si>
    <t xml:space="preserve">Guar gum</t>
  </si>
  <si>
    <t xml:space="preserve">Both bases (gum blend)</t>
  </si>
  <si>
    <t xml:space="preserve">Bulk viscosity</t>
  </si>
  <si>
    <t xml:space="preserve">Needs heat to hydrate (82-85C, hold 5 min)</t>
  </si>
  <si>
    <t xml:space="preserve">Xanthan gum</t>
  </si>
  <si>
    <t xml:space="preserve">Cold suspension / delivery stability</t>
  </si>
  <si>
    <t xml:space="preserve">Keep as minority of blend or it turns slimy</t>
  </si>
  <si>
    <t xml:space="preserve">Soy lecithin</t>
  </si>
  <si>
    <t xml:space="preserve">Emulsifier</t>
  </si>
  <si>
    <t xml:space="preserve">Disperse in warm fat. DECLARE AS ALLERGEN</t>
  </si>
  <si>
    <t xml:space="preserve">BASE RECIPES — batch formulas (per 1 kg batch)</t>
  </si>
  <si>
    <t xml:space="preserve">GUM BLEND PRE-MIX  (dry, store airtight — dry-blend into 10x its weight of sugar before use)</t>
  </si>
  <si>
    <t xml:space="preserve">%</t>
  </si>
  <si>
    <t xml:space="preserve">g / 1 kg</t>
  </si>
  <si>
    <t xml:space="preserve">Guar</t>
  </si>
  <si>
    <t xml:space="preserve">—</t>
  </si>
  <si>
    <t xml:space="preserve">One blend now serves both bases</t>
  </si>
  <si>
    <t xml:space="preserve">Xanthan</t>
  </si>
  <si>
    <t xml:space="preserve">60 parts guar to 40 parts xanthan</t>
  </si>
  <si>
    <t xml:space="preserve">BASE 1 — PLAIN YOGHURT BASE  (13 drinks: all berries, all tropical, ex-sorbet line)</t>
  </si>
  <si>
    <t xml:space="preserve">Skim milk powder</t>
  </si>
  <si>
    <t xml:space="preserve">Gum blend (guar 60 / xanthan 40)</t>
  </si>
  <si>
    <t xml:space="preserve">Dry-blend with the sugar first</t>
  </si>
  <si>
    <t xml:space="preserve">Disperse in warm milk</t>
  </si>
  <si>
    <t xml:space="preserve">Salt</t>
  </si>
  <si>
    <t xml:space="preserve">TOTAL</t>
  </si>
  <si>
    <t xml:space="preserve">Method: Heat milk + SMP + sugars + gums to 82-85C, hold 5 min (hydrates guar, pasteurises). Disperse lecithin in the warm milk. Cool to 4C, then fold in the cold yoghurt OFF-HEAT — never boil the yoghurt. For the ex-sorbet drinks, build juice-forward with a lighter yoghurt hand to keep them refreshing.</t>
  </si>
  <si>
    <t xml:space="preserve">BASE 2 — BROWN SUGAR CARAMEL ICE CREAM BASE  (4 cookie blends)</t>
  </si>
  <si>
    <t xml:space="preserve">Dry-caramelise to deep amber</t>
  </si>
  <si>
    <t xml:space="preserve">Dry-blend with dextrose first</t>
  </si>
  <si>
    <t xml:space="preserve">Disperse in warm cream</t>
  </si>
  <si>
    <t xml:space="preserve">Method: Dry-caramelise the brown sugar to deep amber, deglaze carefully with the warm cream (it spits — stand back). Add milk/SMP/dextrose/gums, bring to 82-85C, hold 5 min, disperse lecithin warm. Cool, AGE 12 h at 4C, then churn. Scoop into blender with milk + cocoa/chocolate + ice for the cookie drinks.</t>
  </si>
  <si>
    <t xml:space="preserve">UNIVERSAL RULES</t>
  </si>
  <si>
    <t xml:space="preserve">• Dry-blend gums with ~10x their weight in sugar before adding to liquid — prevents 'fish-eyes' (clumps).</t>
  </si>
  <si>
    <t xml:space="preserve">• Guar only hydrates with heat (82-85C). Xanthan hydrates cold. The pasteurise step is mandatory, not optional.</t>
  </si>
  <si>
    <t xml:space="preserve">• Age the caramel ice-cream base the full 12 h — the rest does the anti-iciness work.</t>
  </si>
  <si>
    <t xml:space="preserve">• Declare SOY as an allergen on every label (it's in both bases).</t>
  </si>
  <si>
    <t xml:space="preserve">• Build delivery drinks THICKER than dine-in — they should leave the store almost spoonable; transit melt thins them.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</si>
</sst>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03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034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034"/>
        <bgColor rgb="FF333300"/>
      </patternFill>
    </fill>
    <fill>
      <patternFill patternType="solid">
        <fgColor rgb="FF2E5D4E"/>
        <bgColor rgb="FF1F4034"/>
      </patternFill>
    </fill>
    <fill>
      <patternFill patternType="solid">
        <fgColor rgb="FFDDEAE3"/>
        <bgColor rgb="FFCCFFFF"/>
      </patternFill>
    </fill>
    <fill>
      <patternFill patternType="solid">
        <fgColor rgb="FFFFF6D9"/>
        <bgColor rgb="FFFFFFFF"/>
      </patternFill>
    </fill>
    <fill>
      <patternFill patternType="solid">
        <fgColor rgb="FFF2C94C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A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2C94C"/>
      <rgbColor rgb="FFFF9900"/>
      <rgbColor rgb="FFFF6600"/>
      <rgbColor rgb="FF2E5D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0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/>
      <c r="C4" s="3"/>
      <c r="D4" s="3"/>
      <c r="E4" s="3"/>
      <c r="F4" s="3"/>
    </row>
    <row r="5" customFormat="false" ht="23.85" hidden="false" customHeight="false" outlineLevel="0" collapsed="false">
      <c r="A5" s="4" t="s">
        <v>8</v>
      </c>
      <c r="B5" s="5" t="s">
        <v>9</v>
      </c>
      <c r="C5" s="6" t="n">
        <v>7</v>
      </c>
      <c r="D5" s="7" t="s">
        <v>10</v>
      </c>
      <c r="E5" s="8"/>
      <c r="F5" s="7" t="s">
        <v>11</v>
      </c>
    </row>
    <row r="6" customFormat="false" ht="23.85" hidden="false" customHeight="false" outlineLevel="0" collapsed="false">
      <c r="A6" s="4" t="s">
        <v>12</v>
      </c>
      <c r="B6" s="5" t="s">
        <v>9</v>
      </c>
      <c r="C6" s="6" t="n">
        <v>6</v>
      </c>
      <c r="D6" s="7" t="s">
        <v>13</v>
      </c>
      <c r="E6" s="8"/>
      <c r="F6" s="7"/>
    </row>
    <row r="7" customFormat="false" ht="23.85" hidden="false" customHeight="false" outlineLevel="0" collapsed="false">
      <c r="A7" s="4" t="s">
        <v>14</v>
      </c>
      <c r="B7" s="5" t="s">
        <v>9</v>
      </c>
      <c r="C7" s="6" t="n">
        <v>5</v>
      </c>
      <c r="D7" s="7" t="s">
        <v>15</v>
      </c>
      <c r="E7" s="8"/>
      <c r="F7" s="7"/>
    </row>
    <row r="8" customFormat="false" ht="23.85" hidden="false" customHeight="false" outlineLevel="0" collapsed="false">
      <c r="A8" s="4" t="s">
        <v>16</v>
      </c>
      <c r="B8" s="5" t="s">
        <v>9</v>
      </c>
      <c r="C8" s="6" t="n">
        <v>5</v>
      </c>
      <c r="D8" s="7" t="s">
        <v>17</v>
      </c>
      <c r="E8" s="8"/>
      <c r="F8" s="7" t="s">
        <v>18</v>
      </c>
    </row>
    <row r="9" customFormat="false" ht="15" hidden="false" customHeight="false" outlineLevel="0" collapsed="false">
      <c r="A9" s="4" t="s">
        <v>19</v>
      </c>
      <c r="B9" s="5" t="s">
        <v>9</v>
      </c>
      <c r="C9" s="6" t="n">
        <v>3</v>
      </c>
      <c r="D9" s="7" t="s">
        <v>20</v>
      </c>
      <c r="E9" s="8"/>
      <c r="F9" s="7"/>
    </row>
    <row r="10" customFormat="false" ht="15" hidden="false" customHeight="false" outlineLevel="0" collapsed="false">
      <c r="A10" s="4" t="s">
        <v>21</v>
      </c>
      <c r="B10" s="5" t="s">
        <v>9</v>
      </c>
      <c r="C10" s="6" t="n">
        <v>1</v>
      </c>
      <c r="D10" s="7" t="s">
        <v>22</v>
      </c>
      <c r="E10" s="8"/>
      <c r="F10" s="7"/>
    </row>
    <row r="11" customFormat="false" ht="15" hidden="false" customHeight="false" outlineLevel="0" collapsed="false">
      <c r="A11" s="4" t="s">
        <v>23</v>
      </c>
      <c r="B11" s="5" t="s">
        <v>9</v>
      </c>
      <c r="C11" s="6" t="n">
        <v>1</v>
      </c>
      <c r="D11" s="7" t="s">
        <v>24</v>
      </c>
      <c r="E11" s="8"/>
      <c r="F11" s="7" t="s">
        <v>25</v>
      </c>
    </row>
    <row r="12" customFormat="false" ht="15" hidden="false" customHeight="false" outlineLevel="0" collapsed="false">
      <c r="A12" s="4" t="s">
        <v>26</v>
      </c>
      <c r="B12" s="5" t="s">
        <v>9</v>
      </c>
      <c r="C12" s="6" t="n">
        <v>1</v>
      </c>
      <c r="D12" s="7" t="s">
        <v>27</v>
      </c>
      <c r="E12" s="8"/>
      <c r="F12" s="7" t="s">
        <v>28</v>
      </c>
    </row>
    <row r="13" customFormat="false" ht="15" hidden="false" customHeight="false" outlineLevel="0" collapsed="false">
      <c r="A13" s="4" t="s">
        <v>29</v>
      </c>
      <c r="B13" s="5" t="s">
        <v>9</v>
      </c>
      <c r="C13" s="6" t="n">
        <v>1</v>
      </c>
      <c r="D13" s="7" t="s">
        <v>30</v>
      </c>
      <c r="E13" s="8"/>
      <c r="F13" s="7" t="s">
        <v>31</v>
      </c>
    </row>
    <row r="14" customFormat="false" ht="15" hidden="false" customHeight="false" outlineLevel="0" collapsed="false">
      <c r="A14" s="4" t="s">
        <v>32</v>
      </c>
      <c r="B14" s="5" t="s">
        <v>9</v>
      </c>
      <c r="C14" s="6" t="n">
        <v>1</v>
      </c>
      <c r="D14" s="7" t="s">
        <v>30</v>
      </c>
      <c r="E14" s="8"/>
      <c r="F14" s="7" t="s">
        <v>33</v>
      </c>
    </row>
    <row r="15" customFormat="false" ht="15" hidden="false" customHeight="false" outlineLevel="0" collapsed="false">
      <c r="A15" s="3" t="s">
        <v>34</v>
      </c>
      <c r="B15" s="3"/>
      <c r="C15" s="3"/>
      <c r="D15" s="3"/>
      <c r="E15" s="3"/>
      <c r="F15" s="3"/>
    </row>
    <row r="16" customFormat="false" ht="35.05" hidden="false" customHeight="false" outlineLevel="0" collapsed="false">
      <c r="A16" s="4" t="s">
        <v>35</v>
      </c>
      <c r="B16" s="5" t="s">
        <v>36</v>
      </c>
      <c r="C16" s="6" t="n">
        <v>10</v>
      </c>
      <c r="D16" s="7" t="s">
        <v>37</v>
      </c>
      <c r="E16" s="8"/>
      <c r="F16" s="7" t="s">
        <v>38</v>
      </c>
    </row>
    <row r="17" customFormat="false" ht="23.85" hidden="false" customHeight="false" outlineLevel="0" collapsed="false">
      <c r="A17" s="4" t="s">
        <v>39</v>
      </c>
      <c r="B17" s="5" t="s">
        <v>36</v>
      </c>
      <c r="C17" s="6" t="n">
        <v>4</v>
      </c>
      <c r="D17" s="7" t="s">
        <v>40</v>
      </c>
      <c r="E17" s="8"/>
      <c r="F17" s="7" t="s">
        <v>41</v>
      </c>
    </row>
    <row r="18" customFormat="false" ht="15" hidden="false" customHeight="false" outlineLevel="0" collapsed="false">
      <c r="A18" s="4" t="s">
        <v>42</v>
      </c>
      <c r="B18" s="5" t="s">
        <v>36</v>
      </c>
      <c r="C18" s="6" t="n">
        <v>3</v>
      </c>
      <c r="D18" s="7" t="s">
        <v>43</v>
      </c>
      <c r="E18" s="8"/>
      <c r="F18" s="7" t="s">
        <v>44</v>
      </c>
    </row>
    <row r="19" customFormat="false" ht="23.85" hidden="false" customHeight="false" outlineLevel="0" collapsed="false">
      <c r="A19" s="4" t="s">
        <v>45</v>
      </c>
      <c r="B19" s="5" t="s">
        <v>36</v>
      </c>
      <c r="C19" s="6" t="n">
        <v>1</v>
      </c>
      <c r="D19" s="7" t="s">
        <v>46</v>
      </c>
      <c r="E19" s="8"/>
      <c r="F19" s="7" t="s">
        <v>47</v>
      </c>
    </row>
    <row r="20" customFormat="false" ht="15" hidden="false" customHeight="false" outlineLevel="0" collapsed="false">
      <c r="A20" s="3" t="s">
        <v>48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4" t="s">
        <v>49</v>
      </c>
      <c r="B21" s="5" t="s">
        <v>50</v>
      </c>
      <c r="C21" s="6" t="n">
        <v>2</v>
      </c>
      <c r="D21" s="7" t="s">
        <v>51</v>
      </c>
      <c r="E21" s="8"/>
      <c r="F21" s="7" t="s">
        <v>52</v>
      </c>
    </row>
    <row r="22" customFormat="false" ht="15" hidden="false" customHeight="false" outlineLevel="0" collapsed="false">
      <c r="A22" s="4" t="s">
        <v>53</v>
      </c>
      <c r="B22" s="5" t="s">
        <v>50</v>
      </c>
      <c r="C22" s="6" t="n">
        <v>2</v>
      </c>
      <c r="D22" s="7" t="s">
        <v>51</v>
      </c>
      <c r="E22" s="8"/>
      <c r="F22" s="7" t="s">
        <v>54</v>
      </c>
    </row>
    <row r="23" customFormat="false" ht="15" hidden="false" customHeight="false" outlineLevel="0" collapsed="false">
      <c r="A23" s="4" t="s">
        <v>55</v>
      </c>
      <c r="B23" s="5" t="s">
        <v>50</v>
      </c>
      <c r="C23" s="6" t="n">
        <v>1</v>
      </c>
      <c r="D23" s="7" t="s">
        <v>46</v>
      </c>
      <c r="E23" s="8"/>
      <c r="F23" s="7" t="s">
        <v>56</v>
      </c>
    </row>
    <row r="24" customFormat="false" ht="15" hidden="false" customHeight="false" outlineLevel="0" collapsed="false">
      <c r="A24" s="4" t="s">
        <v>57</v>
      </c>
      <c r="B24" s="5" t="s">
        <v>50</v>
      </c>
      <c r="C24" s="6" t="n">
        <v>1</v>
      </c>
      <c r="D24" s="7" t="s">
        <v>46</v>
      </c>
      <c r="E24" s="8"/>
      <c r="F24" s="7" t="s">
        <v>58</v>
      </c>
    </row>
    <row r="25" customFormat="false" ht="23.85" hidden="false" customHeight="false" outlineLevel="0" collapsed="false">
      <c r="A25" s="4" t="s">
        <v>59</v>
      </c>
      <c r="B25" s="5" t="s">
        <v>50</v>
      </c>
      <c r="C25" s="6" t="n">
        <v>2</v>
      </c>
      <c r="D25" s="7" t="s">
        <v>60</v>
      </c>
      <c r="E25" s="8"/>
      <c r="F25" s="7" t="s">
        <v>61</v>
      </c>
    </row>
    <row r="26" customFormat="false" ht="15" hidden="false" customHeight="false" outlineLevel="0" collapsed="false">
      <c r="A26" s="4" t="s">
        <v>62</v>
      </c>
      <c r="B26" s="5" t="s">
        <v>50</v>
      </c>
      <c r="C26" s="6" t="n">
        <v>1</v>
      </c>
      <c r="D26" s="7" t="s">
        <v>63</v>
      </c>
      <c r="E26" s="8"/>
      <c r="F26" s="7" t="s">
        <v>64</v>
      </c>
    </row>
    <row r="27" customFormat="false" ht="15" hidden="false" customHeight="false" outlineLevel="0" collapsed="false">
      <c r="A27" s="4" t="s">
        <v>65</v>
      </c>
      <c r="B27" s="5" t="s">
        <v>50</v>
      </c>
      <c r="C27" s="6" t="n">
        <v>1</v>
      </c>
      <c r="D27" s="7" t="s">
        <v>63</v>
      </c>
      <c r="E27" s="8"/>
      <c r="F27" s="7" t="s">
        <v>66</v>
      </c>
    </row>
    <row r="28" customFormat="false" ht="15" hidden="false" customHeight="false" outlineLevel="0" collapsed="false">
      <c r="A28" s="3" t="s">
        <v>67</v>
      </c>
      <c r="B28" s="3"/>
      <c r="C28" s="3"/>
      <c r="D28" s="3"/>
      <c r="E28" s="3"/>
      <c r="F28" s="3"/>
    </row>
    <row r="29" customFormat="false" ht="46.25" hidden="false" customHeight="false" outlineLevel="0" collapsed="false">
      <c r="A29" s="4" t="s">
        <v>68</v>
      </c>
      <c r="B29" s="5" t="s">
        <v>69</v>
      </c>
      <c r="C29" s="6" t="n">
        <v>13</v>
      </c>
      <c r="D29" s="7" t="s">
        <v>70</v>
      </c>
      <c r="E29" s="8"/>
      <c r="F29" s="7" t="s">
        <v>71</v>
      </c>
    </row>
    <row r="30" customFormat="false" ht="23.85" hidden="false" customHeight="false" outlineLevel="0" collapsed="false">
      <c r="A30" s="4" t="s">
        <v>72</v>
      </c>
      <c r="B30" s="5" t="s">
        <v>69</v>
      </c>
      <c r="C30" s="6" t="n">
        <v>4</v>
      </c>
      <c r="D30" s="7" t="s">
        <v>73</v>
      </c>
      <c r="E30" s="8"/>
      <c r="F30" s="7" t="s">
        <v>74</v>
      </c>
    </row>
  </sheetData>
  <mergeCells count="1">
    <mergeCell ref="A1:F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42"/>
  </cols>
  <sheetData>
    <row r="1" customFormat="false" ht="25.5" hidden="false" customHeight="true" outlineLevel="0" collapsed="false">
      <c r="A1" s="1" t="s">
        <v>75</v>
      </c>
      <c r="B1" s="1"/>
      <c r="C1" s="1"/>
      <c r="D1" s="1"/>
      <c r="E1" s="1"/>
    </row>
    <row r="3" customFormat="false" ht="26.85" hidden="false" customHeight="false" outlineLevel="0" collapsed="false">
      <c r="A3" s="2" t="s">
        <v>76</v>
      </c>
      <c r="B3" s="2" t="s">
        <v>77</v>
      </c>
      <c r="C3" s="2" t="s">
        <v>78</v>
      </c>
      <c r="D3" s="2" t="s">
        <v>5</v>
      </c>
      <c r="E3" s="2" t="s">
        <v>6</v>
      </c>
    </row>
    <row r="4" customFormat="false" ht="15" hidden="false" customHeight="false" outlineLevel="0" collapsed="false">
      <c r="A4" s="4" t="s">
        <v>79</v>
      </c>
      <c r="B4" s="5" t="s">
        <v>80</v>
      </c>
      <c r="C4" s="7" t="s">
        <v>81</v>
      </c>
      <c r="D4" s="8"/>
      <c r="E4" s="7" t="s">
        <v>82</v>
      </c>
    </row>
    <row r="5" customFormat="false" ht="15" hidden="false" customHeight="false" outlineLevel="0" collapsed="false">
      <c r="A5" s="4" t="s">
        <v>83</v>
      </c>
      <c r="B5" s="5" t="s">
        <v>84</v>
      </c>
      <c r="C5" s="7" t="s">
        <v>85</v>
      </c>
      <c r="D5" s="8"/>
      <c r="E5" s="7"/>
    </row>
    <row r="6" customFormat="false" ht="15" hidden="false" customHeight="false" outlineLevel="0" collapsed="false">
      <c r="A6" s="4" t="s">
        <v>86</v>
      </c>
      <c r="B6" s="5" t="s">
        <v>87</v>
      </c>
      <c r="C6" s="7" t="s">
        <v>88</v>
      </c>
      <c r="D6" s="8"/>
      <c r="E6" s="7"/>
    </row>
    <row r="7" customFormat="false" ht="15" hidden="false" customHeight="false" outlineLevel="0" collapsed="false">
      <c r="A7" s="4" t="s">
        <v>89</v>
      </c>
      <c r="B7" s="5" t="s">
        <v>84</v>
      </c>
      <c r="C7" s="7" t="s">
        <v>90</v>
      </c>
      <c r="D7" s="8"/>
      <c r="E7" s="7"/>
    </row>
    <row r="8" customFormat="false" ht="15" hidden="false" customHeight="false" outlineLevel="0" collapsed="false">
      <c r="A8" s="4" t="s">
        <v>91</v>
      </c>
      <c r="B8" s="5" t="s">
        <v>80</v>
      </c>
      <c r="C8" s="7" t="s">
        <v>92</v>
      </c>
      <c r="D8" s="8"/>
      <c r="E8" s="7" t="s">
        <v>93</v>
      </c>
    </row>
    <row r="9" customFormat="false" ht="15" hidden="false" customHeight="false" outlineLevel="0" collapsed="false">
      <c r="A9" s="4" t="s">
        <v>94</v>
      </c>
      <c r="B9" s="5" t="s">
        <v>84</v>
      </c>
      <c r="C9" s="7" t="s">
        <v>95</v>
      </c>
      <c r="D9" s="8"/>
      <c r="E9" s="7"/>
    </row>
    <row r="10" customFormat="false" ht="15" hidden="false" customHeight="false" outlineLevel="0" collapsed="false">
      <c r="A10" s="4" t="s">
        <v>96</v>
      </c>
      <c r="B10" s="5" t="s">
        <v>87</v>
      </c>
      <c r="C10" s="7" t="s">
        <v>97</v>
      </c>
      <c r="D10" s="8"/>
      <c r="E10" s="7" t="s">
        <v>98</v>
      </c>
    </row>
    <row r="11" customFormat="false" ht="15" hidden="false" customHeight="false" outlineLevel="0" collapsed="false">
      <c r="A11" s="4" t="s">
        <v>99</v>
      </c>
      <c r="B11" s="5" t="s">
        <v>84</v>
      </c>
      <c r="C11" s="7" t="s">
        <v>100</v>
      </c>
      <c r="D11" s="8"/>
      <c r="E11" s="7"/>
    </row>
    <row r="12" customFormat="false" ht="15" hidden="false" customHeight="false" outlineLevel="0" collapsed="false">
      <c r="A12" s="4" t="s">
        <v>101</v>
      </c>
      <c r="B12" s="5" t="s">
        <v>102</v>
      </c>
      <c r="C12" s="7" t="s">
        <v>103</v>
      </c>
      <c r="D12" s="8"/>
      <c r="E12" s="7" t="s">
        <v>104</v>
      </c>
    </row>
    <row r="13" customFormat="false" ht="15" hidden="false" customHeight="false" outlineLevel="0" collapsed="false">
      <c r="A13" s="4" t="s">
        <v>105</v>
      </c>
      <c r="B13" s="5" t="s">
        <v>102</v>
      </c>
      <c r="C13" s="7" t="s">
        <v>106</v>
      </c>
      <c r="D13" s="8"/>
      <c r="E13" s="7" t="s">
        <v>107</v>
      </c>
    </row>
    <row r="14" customFormat="false" ht="15" hidden="false" customHeight="false" outlineLevel="0" collapsed="false">
      <c r="A14" s="4" t="s">
        <v>108</v>
      </c>
      <c r="B14" s="5" t="s">
        <v>84</v>
      </c>
      <c r="C14" s="7" t="s">
        <v>109</v>
      </c>
      <c r="D14" s="8"/>
      <c r="E14" s="7" t="s">
        <v>110</v>
      </c>
    </row>
  </sheetData>
  <mergeCells count="1">
    <mergeCell ref="A1:E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2"/>
  </cols>
  <sheetData>
    <row r="1" customFormat="false" ht="25.5" hidden="false" customHeight="true" outlineLevel="0" collapsed="false">
      <c r="A1" s="1" t="s">
        <v>111</v>
      </c>
      <c r="B1" s="1"/>
      <c r="C1" s="1"/>
      <c r="D1" s="1"/>
    </row>
    <row r="3" customFormat="false" ht="15" hidden="false" customHeight="false" outlineLevel="0" collapsed="false">
      <c r="A3" s="9" t="s">
        <v>112</v>
      </c>
      <c r="B3" s="9"/>
      <c r="C3" s="9"/>
      <c r="D3" s="9"/>
    </row>
    <row r="4" customFormat="false" ht="15" hidden="false" customHeight="false" outlineLevel="0" collapsed="false">
      <c r="A4" s="2" t="s">
        <v>1</v>
      </c>
      <c r="B4" s="2" t="s">
        <v>113</v>
      </c>
      <c r="C4" s="2" t="s">
        <v>114</v>
      </c>
      <c r="D4" s="2" t="s">
        <v>6</v>
      </c>
    </row>
    <row r="5" customFormat="false" ht="15" hidden="false" customHeight="false" outlineLevel="0" collapsed="false">
      <c r="A5" s="5" t="s">
        <v>115</v>
      </c>
      <c r="B5" s="10" t="n">
        <v>60</v>
      </c>
      <c r="C5" s="11" t="s">
        <v>116</v>
      </c>
      <c r="D5" s="7" t="s">
        <v>117</v>
      </c>
    </row>
    <row r="6" customFormat="false" ht="15" hidden="false" customHeight="false" outlineLevel="0" collapsed="false">
      <c r="A6" s="5" t="s">
        <v>118</v>
      </c>
      <c r="B6" s="10" t="n">
        <v>40</v>
      </c>
      <c r="C6" s="11" t="s">
        <v>116</v>
      </c>
      <c r="D6" s="7" t="s">
        <v>119</v>
      </c>
    </row>
    <row r="8" customFormat="false" ht="15" hidden="false" customHeight="false" outlineLevel="0" collapsed="false">
      <c r="A8" s="9" t="s">
        <v>120</v>
      </c>
      <c r="B8" s="9"/>
      <c r="C8" s="9"/>
      <c r="D8" s="9"/>
    </row>
    <row r="9" customFormat="false" ht="15" hidden="false" customHeight="false" outlineLevel="0" collapsed="false">
      <c r="A9" s="2" t="s">
        <v>1</v>
      </c>
      <c r="B9" s="2" t="s">
        <v>113</v>
      </c>
      <c r="C9" s="2" t="s">
        <v>114</v>
      </c>
      <c r="D9" s="2" t="s">
        <v>6</v>
      </c>
    </row>
    <row r="10" customFormat="false" ht="15" hidden="false" customHeight="false" outlineLevel="0" collapsed="false">
      <c r="A10" s="5" t="s">
        <v>79</v>
      </c>
      <c r="B10" s="10" t="n">
        <v>55</v>
      </c>
      <c r="C10" s="11" t="n">
        <v>550</v>
      </c>
      <c r="D10" s="7"/>
    </row>
    <row r="11" customFormat="false" ht="15" hidden="false" customHeight="false" outlineLevel="0" collapsed="false">
      <c r="A11" s="5" t="s">
        <v>83</v>
      </c>
      <c r="B11" s="10" t="n">
        <v>22</v>
      </c>
      <c r="C11" s="11" t="n">
        <v>220</v>
      </c>
      <c r="D11" s="7"/>
    </row>
    <row r="12" customFormat="false" ht="15" hidden="false" customHeight="false" outlineLevel="0" collapsed="false">
      <c r="A12" s="5" t="s">
        <v>91</v>
      </c>
      <c r="B12" s="10" t="n">
        <v>11</v>
      </c>
      <c r="C12" s="11" t="n">
        <v>110</v>
      </c>
      <c r="D12" s="7"/>
    </row>
    <row r="13" customFormat="false" ht="15" hidden="false" customHeight="false" outlineLevel="0" collapsed="false">
      <c r="A13" s="5" t="s">
        <v>121</v>
      </c>
      <c r="B13" s="10" t="n">
        <v>6</v>
      </c>
      <c r="C13" s="11" t="n">
        <v>60</v>
      </c>
      <c r="D13" s="7"/>
    </row>
    <row r="14" customFormat="false" ht="15" hidden="false" customHeight="false" outlineLevel="0" collapsed="false">
      <c r="A14" s="5" t="s">
        <v>94</v>
      </c>
      <c r="B14" s="10" t="n">
        <v>5</v>
      </c>
      <c r="C14" s="11" t="n">
        <v>50</v>
      </c>
      <c r="D14" s="7"/>
    </row>
    <row r="15" customFormat="false" ht="15" hidden="false" customHeight="false" outlineLevel="0" collapsed="false">
      <c r="A15" s="5" t="s">
        <v>122</v>
      </c>
      <c r="B15" s="10" t="n">
        <v>0.35</v>
      </c>
      <c r="C15" s="11" t="n">
        <v>3.5</v>
      </c>
      <c r="D15" s="7" t="s">
        <v>123</v>
      </c>
    </row>
    <row r="16" customFormat="false" ht="15" hidden="false" customHeight="false" outlineLevel="0" collapsed="false">
      <c r="A16" s="5" t="s">
        <v>108</v>
      </c>
      <c r="B16" s="10" t="n">
        <v>0.3</v>
      </c>
      <c r="C16" s="11" t="n">
        <v>3</v>
      </c>
      <c r="D16" s="7" t="s">
        <v>124</v>
      </c>
    </row>
    <row r="17" customFormat="false" ht="15" hidden="false" customHeight="false" outlineLevel="0" collapsed="false">
      <c r="A17" s="5" t="s">
        <v>125</v>
      </c>
      <c r="B17" s="10" t="n">
        <v>0.1</v>
      </c>
      <c r="C17" s="11" t="n">
        <v>1</v>
      </c>
      <c r="D17" s="7"/>
    </row>
    <row r="18" customFormat="false" ht="15" hidden="false" customHeight="false" outlineLevel="0" collapsed="false">
      <c r="A18" s="12" t="s">
        <v>126</v>
      </c>
      <c r="B18" s="13" t="n">
        <f aca="false">SUM(B10:B17)</f>
        <v>99.75</v>
      </c>
      <c r="C18" s="14" t="n">
        <f aca="false">SUM(C10:C17)</f>
        <v>997.5</v>
      </c>
      <c r="D18" s="15"/>
    </row>
    <row r="19" customFormat="false" ht="42" hidden="false" customHeight="true" outlineLevel="0" collapsed="false">
      <c r="A19" s="16" t="s">
        <v>127</v>
      </c>
      <c r="B19" s="16"/>
      <c r="C19" s="16"/>
      <c r="D19" s="16"/>
    </row>
    <row r="21" customFormat="false" ht="15" hidden="false" customHeight="false" outlineLevel="0" collapsed="false">
      <c r="A21" s="9" t="s">
        <v>128</v>
      </c>
      <c r="B21" s="9"/>
      <c r="C21" s="9"/>
      <c r="D21" s="9"/>
    </row>
    <row r="22" customFormat="false" ht="15" hidden="false" customHeight="false" outlineLevel="0" collapsed="false">
      <c r="A22" s="2" t="s">
        <v>1</v>
      </c>
      <c r="B22" s="2" t="s">
        <v>113</v>
      </c>
      <c r="C22" s="2" t="s">
        <v>114</v>
      </c>
      <c r="D22" s="2" t="s">
        <v>6</v>
      </c>
    </row>
    <row r="23" customFormat="false" ht="15" hidden="false" customHeight="false" outlineLevel="0" collapsed="false">
      <c r="A23" s="5" t="s">
        <v>83</v>
      </c>
      <c r="B23" s="10" t="n">
        <v>53</v>
      </c>
      <c r="C23" s="11" t="n">
        <v>530</v>
      </c>
      <c r="D23" s="7"/>
    </row>
    <row r="24" customFormat="false" ht="15" hidden="false" customHeight="false" outlineLevel="0" collapsed="false">
      <c r="A24" s="5" t="s">
        <v>86</v>
      </c>
      <c r="B24" s="10" t="n">
        <v>20</v>
      </c>
      <c r="C24" s="11" t="n">
        <v>200</v>
      </c>
      <c r="D24" s="7"/>
    </row>
    <row r="25" customFormat="false" ht="15" hidden="false" customHeight="false" outlineLevel="0" collapsed="false">
      <c r="A25" s="5" t="s">
        <v>96</v>
      </c>
      <c r="B25" s="10" t="n">
        <v>18</v>
      </c>
      <c r="C25" s="11" t="n">
        <v>180</v>
      </c>
      <c r="D25" s="7" t="s">
        <v>129</v>
      </c>
    </row>
    <row r="26" customFormat="false" ht="15" hidden="false" customHeight="false" outlineLevel="0" collapsed="false">
      <c r="A26" s="5" t="s">
        <v>121</v>
      </c>
      <c r="B26" s="10" t="n">
        <v>4.5</v>
      </c>
      <c r="C26" s="11" t="n">
        <v>45</v>
      </c>
      <c r="D26" s="7"/>
    </row>
    <row r="27" customFormat="false" ht="15" hidden="false" customHeight="false" outlineLevel="0" collapsed="false">
      <c r="A27" s="5" t="s">
        <v>94</v>
      </c>
      <c r="B27" s="10" t="n">
        <v>3.6</v>
      </c>
      <c r="C27" s="11" t="n">
        <v>36</v>
      </c>
      <c r="D27" s="7"/>
    </row>
    <row r="28" customFormat="false" ht="15" hidden="false" customHeight="false" outlineLevel="0" collapsed="false">
      <c r="A28" s="5" t="s">
        <v>122</v>
      </c>
      <c r="B28" s="10" t="n">
        <v>0.4</v>
      </c>
      <c r="C28" s="11" t="n">
        <v>4</v>
      </c>
      <c r="D28" s="7" t="s">
        <v>130</v>
      </c>
    </row>
    <row r="29" customFormat="false" ht="15" hidden="false" customHeight="false" outlineLevel="0" collapsed="false">
      <c r="A29" s="5" t="s">
        <v>108</v>
      </c>
      <c r="B29" s="10" t="n">
        <v>0.4</v>
      </c>
      <c r="C29" s="11" t="n">
        <v>4</v>
      </c>
      <c r="D29" s="7" t="s">
        <v>131</v>
      </c>
    </row>
    <row r="30" customFormat="false" ht="15" hidden="false" customHeight="false" outlineLevel="0" collapsed="false">
      <c r="A30" s="5" t="s">
        <v>125</v>
      </c>
      <c r="B30" s="10" t="n">
        <v>0.4</v>
      </c>
      <c r="C30" s="11" t="n">
        <v>4</v>
      </c>
      <c r="D30" s="7"/>
    </row>
    <row r="31" customFormat="false" ht="15" hidden="false" customHeight="false" outlineLevel="0" collapsed="false">
      <c r="A31" s="12" t="s">
        <v>126</v>
      </c>
      <c r="B31" s="13" t="n">
        <f aca="false">SUM(B23:B30)</f>
        <v>100.3</v>
      </c>
      <c r="C31" s="14" t="n">
        <f aca="false">SUM(C23:C30)</f>
        <v>1003</v>
      </c>
      <c r="D31" s="15"/>
    </row>
    <row r="32" customFormat="false" ht="42" hidden="false" customHeight="true" outlineLevel="0" collapsed="false">
      <c r="A32" s="16" t="s">
        <v>132</v>
      </c>
      <c r="B32" s="16"/>
      <c r="C32" s="16"/>
      <c r="D32" s="16"/>
    </row>
    <row r="34" customFormat="false" ht="15" hidden="false" customHeight="false" outlineLevel="0" collapsed="false">
      <c r="A34" s="9" t="s">
        <v>133</v>
      </c>
      <c r="B34" s="9"/>
      <c r="C34" s="9"/>
      <c r="D34" s="9"/>
    </row>
    <row r="35" customFormat="false" ht="27.75" hidden="false" customHeight="true" outlineLevel="0" collapsed="false">
      <c r="A35" s="17" t="s">
        <v>134</v>
      </c>
      <c r="B35" s="17"/>
      <c r="C35" s="17"/>
      <c r="D35" s="17"/>
    </row>
    <row r="36" customFormat="false" ht="27.75" hidden="false" customHeight="true" outlineLevel="0" collapsed="false">
      <c r="A36" s="17" t="s">
        <v>135</v>
      </c>
      <c r="B36" s="17"/>
      <c r="C36" s="17"/>
      <c r="D36" s="17"/>
    </row>
    <row r="37" customFormat="false" ht="27.75" hidden="false" customHeight="true" outlineLevel="0" collapsed="false">
      <c r="A37" s="17" t="s">
        <v>136</v>
      </c>
      <c r="B37" s="17"/>
      <c r="C37" s="17"/>
      <c r="D37" s="17"/>
    </row>
    <row r="38" customFormat="false" ht="27.75" hidden="false" customHeight="true" outlineLevel="0" collapsed="false">
      <c r="A38" s="17" t="s">
        <v>137</v>
      </c>
      <c r="B38" s="17"/>
      <c r="C38" s="17"/>
      <c r="D38" s="17"/>
    </row>
    <row r="39" customFormat="false" ht="27.75" hidden="false" customHeight="true" outlineLevel="0" collapsed="false">
      <c r="A39" s="17" t="s">
        <v>138</v>
      </c>
      <c r="B39" s="17"/>
      <c r="C39" s="17"/>
      <c r="D39" s="17"/>
    </row>
  </sheetData>
  <mergeCells count="12">
    <mergeCell ref="A1:D1"/>
    <mergeCell ref="A3:D3"/>
    <mergeCell ref="A8:D8"/>
    <mergeCell ref="A19:D19"/>
    <mergeCell ref="A21:D21"/>
    <mergeCell ref="A32:D32"/>
    <mergeCell ref="A34:D34"/>
    <mergeCell ref="A35:D35"/>
    <mergeCell ref="A36:D36"/>
    <mergeCell ref="A37:D37"/>
    <mergeCell ref="A38:D38"/>
    <mergeCell ref="A39:D3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2026-06-21T14:19:26Z</dcterms:created>
  <dc:creator>openpyxl</dc:creator>
  <dc:description/>
  <dc:language>en-US</dc:language>
  <cp:lastModifiedBy/>
  <dcterms:modified xsi:type="dcterms:W3CDTF">2026-06-21T14:19:26Z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